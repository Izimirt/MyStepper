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imirt\Desktop\"/>
    </mc:Choice>
  </mc:AlternateContent>
  <xr:revisionPtr revIDLastSave="0" documentId="13_ncr:1_{68A2D9E6-8262-43CE-82E2-DD9B0C385F8E}" xr6:coauthVersionLast="47" xr6:coauthVersionMax="47" xr10:uidLastSave="{00000000-0000-0000-0000-000000000000}"/>
  <bookViews>
    <workbookView xWindow="-108" yWindow="-108" windowWidth="23256" windowHeight="14616" xr2:uid="{343490F2-B3BD-4836-B4AE-66565C7A97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H3" i="1"/>
  <c r="H4" i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C25" i="1"/>
  <c r="C26" i="1" s="1"/>
  <c r="C27" i="1" s="1"/>
  <c r="I2" i="1" l="1"/>
  <c r="J2" i="1" s="1"/>
  <c r="I21" i="1"/>
  <c r="J21" i="1" s="1"/>
  <c r="I6" i="1"/>
  <c r="J6" i="1" s="1"/>
  <c r="I41" i="1"/>
  <c r="J41" i="1" s="1"/>
  <c r="I18" i="1"/>
  <c r="J18" i="1" s="1"/>
  <c r="I14" i="1"/>
  <c r="J14" i="1" s="1"/>
  <c r="I22" i="1"/>
  <c r="J22" i="1" s="1"/>
  <c r="I39" i="1"/>
  <c r="J39" i="1" s="1"/>
  <c r="I34" i="1"/>
  <c r="J34" i="1" s="1"/>
  <c r="I33" i="1"/>
  <c r="J33" i="1" s="1"/>
  <c r="I32" i="1"/>
  <c r="J32" i="1" s="1"/>
  <c r="I10" i="1"/>
  <c r="J10" i="1" s="1"/>
  <c r="I20" i="1"/>
  <c r="J20" i="1" s="1"/>
  <c r="I4" i="1"/>
  <c r="J4" i="1" s="1"/>
  <c r="I17" i="1"/>
  <c r="J17" i="1" s="1"/>
  <c r="I19" i="1"/>
  <c r="J19" i="1" s="1"/>
  <c r="I3" i="1"/>
  <c r="J3" i="1" s="1"/>
  <c r="I9" i="1"/>
  <c r="J9" i="1" s="1"/>
  <c r="I5" i="1"/>
  <c r="J5" i="1" s="1"/>
  <c r="I40" i="1"/>
  <c r="J40" i="1" s="1"/>
  <c r="I16" i="1"/>
  <c r="J16" i="1" s="1"/>
  <c r="I8" i="1"/>
  <c r="J8" i="1" s="1"/>
  <c r="I31" i="1"/>
  <c r="J31" i="1" s="1"/>
  <c r="I15" i="1"/>
  <c r="J15" i="1" s="1"/>
  <c r="I30" i="1"/>
  <c r="J30" i="1" s="1"/>
  <c r="I29" i="1"/>
  <c r="J29" i="1" s="1"/>
  <c r="I37" i="1"/>
  <c r="J37" i="1" s="1"/>
  <c r="I28" i="1"/>
  <c r="J28" i="1" s="1"/>
  <c r="I7" i="1"/>
  <c r="J7" i="1" s="1"/>
  <c r="I27" i="1"/>
  <c r="J27" i="1" s="1"/>
  <c r="I13" i="1"/>
  <c r="J13" i="1" s="1"/>
  <c r="I25" i="1"/>
  <c r="J25" i="1" s="1"/>
  <c r="I36" i="1"/>
  <c r="J36" i="1" s="1"/>
  <c r="I24" i="1"/>
  <c r="J24" i="1" s="1"/>
  <c r="I12" i="1"/>
  <c r="J12" i="1" s="1"/>
  <c r="I35" i="1"/>
  <c r="J35" i="1" s="1"/>
  <c r="I23" i="1"/>
  <c r="J23" i="1" s="1"/>
  <c r="I11" i="1"/>
  <c r="J11" i="1" s="1"/>
  <c r="I26" i="1"/>
  <c r="J26" i="1" s="1"/>
  <c r="I38" i="1"/>
  <c r="J38" i="1" s="1"/>
  <c r="C28" i="1"/>
  <c r="C29" i="1" l="1"/>
  <c r="L2" i="1" s="1"/>
  <c r="N2" i="1" s="1"/>
  <c r="O2" i="1" s="1"/>
  <c r="L36" i="1" l="1"/>
  <c r="N36" i="1" s="1"/>
  <c r="L19" i="1"/>
  <c r="N19" i="1" s="1"/>
  <c r="L16" i="1"/>
  <c r="N16" i="1" s="1"/>
  <c r="L14" i="1"/>
  <c r="N14" i="1" s="1"/>
  <c r="L13" i="1"/>
  <c r="N13" i="1" s="1"/>
  <c r="L18" i="1"/>
  <c r="N18" i="1" s="1"/>
  <c r="L33" i="1"/>
  <c r="N33" i="1" s="1"/>
  <c r="L32" i="1"/>
  <c r="N32" i="1" s="1"/>
  <c r="L23" i="1"/>
  <c r="N23" i="1" s="1"/>
  <c r="L20" i="1"/>
  <c r="N20" i="1" s="1"/>
  <c r="L21" i="1"/>
  <c r="N21" i="1" s="1"/>
  <c r="L10" i="1"/>
  <c r="N10" i="1" s="1"/>
  <c r="L6" i="1"/>
  <c r="N6" i="1" s="1"/>
  <c r="L3" i="1"/>
  <c r="N3" i="1" s="1"/>
  <c r="L12" i="1"/>
  <c r="N12" i="1" s="1"/>
  <c r="L35" i="1"/>
  <c r="N35" i="1" s="1"/>
  <c r="L37" i="1"/>
  <c r="N37" i="1" s="1"/>
  <c r="L24" i="1"/>
  <c r="N24" i="1" s="1"/>
  <c r="L28" i="1"/>
  <c r="N28" i="1" s="1"/>
  <c r="L34" i="1"/>
  <c r="N34" i="1" s="1"/>
  <c r="L39" i="1"/>
  <c r="N39" i="1" s="1"/>
  <c r="L26" i="1"/>
  <c r="N26" i="1" s="1"/>
  <c r="L15" i="1"/>
  <c r="N15" i="1" s="1"/>
  <c r="L5" i="1"/>
  <c r="N5" i="1" s="1"/>
  <c r="L8" i="1"/>
  <c r="N8" i="1" s="1"/>
  <c r="L11" i="1"/>
  <c r="N11" i="1" s="1"/>
  <c r="L29" i="1"/>
  <c r="N29" i="1" s="1"/>
  <c r="L17" i="1"/>
  <c r="N17" i="1" s="1"/>
  <c r="L7" i="1"/>
  <c r="N7" i="1" s="1"/>
  <c r="L31" i="1"/>
  <c r="N31" i="1" s="1"/>
  <c r="L22" i="1"/>
  <c r="N22" i="1" s="1"/>
  <c r="L30" i="1"/>
  <c r="N30" i="1" s="1"/>
  <c r="L27" i="1"/>
  <c r="N27" i="1" s="1"/>
  <c r="L41" i="1"/>
  <c r="N41" i="1" s="1"/>
  <c r="L4" i="1"/>
  <c r="N4" i="1" s="1"/>
  <c r="L9" i="1"/>
  <c r="N9" i="1" s="1"/>
  <c r="L25" i="1"/>
  <c r="N25" i="1" s="1"/>
  <c r="L40" i="1"/>
  <c r="N40" i="1" s="1"/>
  <c r="L38" i="1"/>
  <c r="N38" i="1" s="1"/>
  <c r="M25" i="1"/>
  <c r="M8" i="1"/>
  <c r="M3" i="1"/>
  <c r="M35" i="1" l="1"/>
  <c r="M37" i="1"/>
  <c r="K10" i="1"/>
  <c r="P2" i="1"/>
  <c r="K2" i="1"/>
  <c r="K4" i="1"/>
  <c r="K7" i="1"/>
  <c r="O7" i="1"/>
  <c r="P7" i="1" s="1"/>
  <c r="K8" i="1"/>
  <c r="O8" i="1"/>
  <c r="P8" i="1" s="1"/>
  <c r="K3" i="1"/>
  <c r="O3" i="1"/>
  <c r="P3" i="1" s="1"/>
  <c r="K9" i="1"/>
  <c r="O5" i="1"/>
  <c r="P5" i="1" s="1"/>
  <c r="K5" i="1"/>
  <c r="K6" i="1"/>
  <c r="K26" i="1"/>
  <c r="K22" i="1"/>
  <c r="K41" i="1"/>
  <c r="K20" i="1"/>
  <c r="K34" i="1"/>
  <c r="O33" i="1"/>
  <c r="P33" i="1" s="1"/>
  <c r="K33" i="1"/>
  <c r="K17" i="1"/>
  <c r="K35" i="1"/>
  <c r="K14" i="1"/>
  <c r="K15" i="1"/>
  <c r="K39" i="1"/>
  <c r="O39" i="1"/>
  <c r="P39" i="1" s="1"/>
  <c r="K32" i="1"/>
  <c r="O32" i="1"/>
  <c r="P32" i="1" s="1"/>
  <c r="K18" i="1"/>
  <c r="K37" i="1"/>
  <c r="K12" i="1"/>
  <c r="K16" i="1"/>
  <c r="K21" i="1"/>
  <c r="O21" i="1"/>
  <c r="P21" i="1" s="1"/>
  <c r="K23" i="1"/>
  <c r="O23" i="1"/>
  <c r="P23" i="1" s="1"/>
  <c r="K31" i="1"/>
  <c r="K24" i="1"/>
  <c r="O38" i="1"/>
  <c r="P38" i="1" s="1"/>
  <c r="K38" i="1"/>
  <c r="O11" i="1"/>
  <c r="P11" i="1" s="1"/>
  <c r="K11" i="1"/>
  <c r="K25" i="1"/>
  <c r="O25" i="1"/>
  <c r="P25" i="1" s="1"/>
  <c r="O19" i="1"/>
  <c r="P19" i="1" s="1"/>
  <c r="K19" i="1"/>
  <c r="K27" i="1"/>
  <c r="O27" i="1"/>
  <c r="P27" i="1" s="1"/>
  <c r="K30" i="1"/>
  <c r="K28" i="1"/>
  <c r="K13" i="1"/>
  <c r="O29" i="1"/>
  <c r="P29" i="1" s="1"/>
  <c r="K29" i="1"/>
  <c r="K40" i="1"/>
  <c r="O36" i="1"/>
  <c r="P36" i="1" s="1"/>
  <c r="K36" i="1"/>
  <c r="M6" i="1"/>
  <c r="M9" i="1"/>
  <c r="M4" i="1"/>
  <c r="O4" i="1"/>
  <c r="P4" i="1" s="1"/>
  <c r="M7" i="1"/>
  <c r="O15" i="1"/>
  <c r="P15" i="1" s="1"/>
  <c r="M26" i="1"/>
  <c r="O26" i="1"/>
  <c r="P26" i="1" s="1"/>
  <c r="M30" i="1"/>
  <c r="O30" i="1"/>
  <c r="P30" i="1" s="1"/>
  <c r="O41" i="1"/>
  <c r="P41" i="1" s="1"/>
  <c r="O20" i="1"/>
  <c r="P20" i="1" s="1"/>
  <c r="M23" i="1"/>
  <c r="M34" i="1"/>
  <c r="O34" i="1"/>
  <c r="P34" i="1" s="1"/>
  <c r="M33" i="1"/>
  <c r="M24" i="1"/>
  <c r="O24" i="1"/>
  <c r="P24" i="1" s="1"/>
  <c r="M40" i="1"/>
  <c r="O40" i="1"/>
  <c r="P40" i="1" s="1"/>
  <c r="O12" i="1"/>
  <c r="P12" i="1" s="1"/>
  <c r="O16" i="1"/>
  <c r="P16" i="1" s="1"/>
  <c r="M32" i="1"/>
  <c r="M28" i="1"/>
  <c r="O28" i="1"/>
  <c r="P28" i="1" s="1"/>
  <c r="M13" i="1"/>
  <c r="O13" i="1"/>
  <c r="P13" i="1" s="1"/>
  <c r="M38" i="1"/>
  <c r="M19" i="1"/>
  <c r="M21" i="1"/>
  <c r="M22" i="1"/>
  <c r="O22" i="1"/>
  <c r="P22" i="1" s="1"/>
  <c r="M31" i="1"/>
  <c r="O31" i="1"/>
  <c r="P31" i="1" s="1"/>
  <c r="O18" i="1"/>
  <c r="P18" i="1" s="1"/>
  <c r="M17" i="1"/>
  <c r="O17" i="1"/>
  <c r="P17" i="1" s="1"/>
  <c r="M41" i="1"/>
  <c r="M39" i="1"/>
  <c r="M29" i="1"/>
  <c r="M12" i="1"/>
  <c r="M36" i="1"/>
  <c r="M27" i="1"/>
  <c r="M16" i="1"/>
  <c r="M11" i="1"/>
  <c r="M18" i="1"/>
  <c r="M20" i="1"/>
  <c r="M15" i="1"/>
  <c r="O35" i="1"/>
  <c r="P35" i="1" s="1"/>
  <c r="O37" i="1"/>
  <c r="P37" i="1" s="1"/>
  <c r="M14" i="1"/>
  <c r="O14" i="1"/>
  <c r="P14" i="1" s="1"/>
  <c r="M2" i="1"/>
  <c r="O6" i="1"/>
  <c r="P6" i="1" s="1"/>
  <c r="M10" i="1"/>
  <c r="O10" i="1"/>
  <c r="P10" i="1" s="1"/>
  <c r="M5" i="1"/>
  <c r="O9" i="1"/>
  <c r="P9" i="1" s="1"/>
</calcChain>
</file>

<file path=xl/sharedStrings.xml><?xml version="1.0" encoding="utf-8"?>
<sst xmlns="http://schemas.openxmlformats.org/spreadsheetml/2006/main" count="22" uniqueCount="22">
  <si>
    <t>periodTime</t>
  </si>
  <si>
    <t>periodNum</t>
  </si>
  <si>
    <t>currentSpeed</t>
  </si>
  <si>
    <t>stepsPerCircle</t>
  </si>
  <si>
    <t>stepTimeMcs</t>
  </si>
  <si>
    <t>SPEED_OLD</t>
  </si>
  <si>
    <t>NUM_STEPS_PER_PERIOD_OLD</t>
  </si>
  <si>
    <t>CIRCLE/SEC_OLD</t>
  </si>
  <si>
    <t>NUM_STEPS_PER_PERIOD_PERFECT</t>
  </si>
  <si>
    <t>CIRCLE/SEC_PERFECT</t>
  </si>
  <si>
    <t>SPEED_NEW</t>
  </si>
  <si>
    <t>NUM_STEPS_PER_PERIOD_NEW</t>
  </si>
  <si>
    <t>CIRCLE/SEC_NEW</t>
  </si>
  <si>
    <t>ITERATION</t>
  </si>
  <si>
    <t>numStepsPerPeriodSTART</t>
  </si>
  <si>
    <t>numStepsPerPeriodEND</t>
  </si>
  <si>
    <t>numStepsPerPeriodSTEP</t>
  </si>
  <si>
    <t>MIN SPEED</t>
  </si>
  <si>
    <t>MAX SPEED</t>
  </si>
  <si>
    <t>ACCELERATION TIME (MSEC)</t>
  </si>
  <si>
    <t>SPEED_PERFECT</t>
  </si>
  <si>
    <t>STEPS_TILL_STOP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</si>
</sst>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24"/>
      <color rgb="FF3F3F3F"/>
      <name val="Aptos Narrow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7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" fontId="0" fillId="8" borderId="0" xfId="0" applyNumberFormat="1" applyFill="1"/>
    <xf numFmtId="1" fontId="0" fillId="9" borderId="0" xfId="0" applyNumberFormat="1" applyFill="1"/>
    <xf numFmtId="0" fontId="0" fillId="10" borderId="0" xfId="0" applyFill="1"/>
    <xf numFmtId="0" fontId="1" fillId="2" borderId="1" xfId="1" applyAlignment="1">
      <alignment horizontal="center"/>
    </xf>
    <xf numFmtId="0" fontId="2" fillId="2" borderId="1" xfId="1" applyFont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кол-во шагов от скорости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7070998925922176E-2"/>
          <c:y val="3.4074044637424923E-2"/>
          <c:w val="0.96112301202993045"/>
          <c:h val="0.9111503160798935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Лист1!$H$2:$H$41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Лист1!$I$2:$I$41</c:f>
              <c:numCache>
                <c:formatCode>0</c:formatCode>
                <c:ptCount val="40"/>
                <c:pt idx="0">
                  <c:v>2564.102564102564</c:v>
                </c:pt>
                <c:pt idx="1">
                  <c:v>1282.051282051282</c:v>
                </c:pt>
                <c:pt idx="2">
                  <c:v>854.70085470085473</c:v>
                </c:pt>
                <c:pt idx="3">
                  <c:v>641.02564102564099</c:v>
                </c:pt>
                <c:pt idx="4">
                  <c:v>512.82051282051282</c:v>
                </c:pt>
                <c:pt idx="5">
                  <c:v>427.35042735042737</c:v>
                </c:pt>
                <c:pt idx="6">
                  <c:v>366.30036630036631</c:v>
                </c:pt>
                <c:pt idx="7">
                  <c:v>320.5128205128205</c:v>
                </c:pt>
                <c:pt idx="8">
                  <c:v>284.90028490028487</c:v>
                </c:pt>
                <c:pt idx="9">
                  <c:v>256.41025641025641</c:v>
                </c:pt>
                <c:pt idx="10">
                  <c:v>233.10023310023308</c:v>
                </c:pt>
                <c:pt idx="11">
                  <c:v>213.67521367521368</c:v>
                </c:pt>
                <c:pt idx="12">
                  <c:v>197.23865877712032</c:v>
                </c:pt>
                <c:pt idx="13">
                  <c:v>183.15018315018315</c:v>
                </c:pt>
                <c:pt idx="14">
                  <c:v>170.94017094017093</c:v>
                </c:pt>
                <c:pt idx="15">
                  <c:v>160.25641025641025</c:v>
                </c:pt>
                <c:pt idx="16">
                  <c:v>150.82956259426848</c:v>
                </c:pt>
                <c:pt idx="17">
                  <c:v>142.45014245014244</c:v>
                </c:pt>
                <c:pt idx="18">
                  <c:v>134.95276653171391</c:v>
                </c:pt>
                <c:pt idx="19">
                  <c:v>128.2051282051282</c:v>
                </c:pt>
                <c:pt idx="20">
                  <c:v>122.10012210012209</c:v>
                </c:pt>
                <c:pt idx="21">
                  <c:v>116.55011655011654</c:v>
                </c:pt>
                <c:pt idx="22">
                  <c:v>111.48272017837235</c:v>
                </c:pt>
                <c:pt idx="23">
                  <c:v>106.83760683760684</c:v>
                </c:pt>
                <c:pt idx="24">
                  <c:v>102.56410256410257</c:v>
                </c:pt>
                <c:pt idx="25">
                  <c:v>98.619329388560161</c:v>
                </c:pt>
                <c:pt idx="26">
                  <c:v>94.966761633428305</c:v>
                </c:pt>
                <c:pt idx="27">
                  <c:v>91.575091575091577</c:v>
                </c:pt>
                <c:pt idx="28">
                  <c:v>88.417329796640146</c:v>
                </c:pt>
                <c:pt idx="29">
                  <c:v>85.470085470085465</c:v>
                </c:pt>
                <c:pt idx="30">
                  <c:v>82.712985938792386</c:v>
                </c:pt>
                <c:pt idx="31">
                  <c:v>80.128205128205124</c:v>
                </c:pt>
                <c:pt idx="32">
                  <c:v>77.700077700077699</c:v>
                </c:pt>
                <c:pt idx="33">
                  <c:v>75.41478129713424</c:v>
                </c:pt>
                <c:pt idx="34">
                  <c:v>73.260073260073256</c:v>
                </c:pt>
                <c:pt idx="35">
                  <c:v>71.225071225071218</c:v>
                </c:pt>
                <c:pt idx="36">
                  <c:v>69.300069300069296</c:v>
                </c:pt>
                <c:pt idx="37">
                  <c:v>67.476383265856953</c:v>
                </c:pt>
                <c:pt idx="38">
                  <c:v>65.746219592373436</c:v>
                </c:pt>
                <c:pt idx="39">
                  <c:v>64.102564102564102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6EC7-46A7-BAD8-59F98C3CF4AC}"/>
            </c:ext>
          </c:extLst>
        </c:ser>
        <c:ser>
          <c:idx val="3"/>
          <c:order val="2"/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cat>
            <c:numRef>
              <c:f>Лист1!$H$2:$H$41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Лист1!$L$2:$L$41</c:f>
              <c:numCache>
                <c:formatCode>0</c:formatCode>
                <c:ptCount val="40"/>
                <c:pt idx="0">
                  <c:v>2564.102564102564</c:v>
                </c:pt>
                <c:pt idx="1">
                  <c:v>2500</c:v>
                </c:pt>
                <c:pt idx="2">
                  <c:v>2435.8974358974356</c:v>
                </c:pt>
                <c:pt idx="3">
                  <c:v>2371.7948717948716</c:v>
                </c:pt>
                <c:pt idx="4">
                  <c:v>2307.6923076923076</c:v>
                </c:pt>
                <c:pt idx="5">
                  <c:v>2243.5897435897436</c:v>
                </c:pt>
                <c:pt idx="6">
                  <c:v>2179.4871794871792</c:v>
                </c:pt>
                <c:pt idx="7">
                  <c:v>2115.3846153846152</c:v>
                </c:pt>
                <c:pt idx="8">
                  <c:v>2051.2820512820513</c:v>
                </c:pt>
                <c:pt idx="9">
                  <c:v>1987.1794871794871</c:v>
                </c:pt>
                <c:pt idx="10">
                  <c:v>1923.0769230769229</c:v>
                </c:pt>
                <c:pt idx="11">
                  <c:v>1858.9743589743589</c:v>
                </c:pt>
                <c:pt idx="12">
                  <c:v>1794.8717948717947</c:v>
                </c:pt>
                <c:pt idx="13">
                  <c:v>1730.7692307692305</c:v>
                </c:pt>
                <c:pt idx="14">
                  <c:v>1666.6666666666665</c:v>
                </c:pt>
                <c:pt idx="15">
                  <c:v>1602.5641025641025</c:v>
                </c:pt>
                <c:pt idx="16">
                  <c:v>1538.4615384615383</c:v>
                </c:pt>
                <c:pt idx="17">
                  <c:v>1474.3589743589741</c:v>
                </c:pt>
                <c:pt idx="18">
                  <c:v>1410.2564102564102</c:v>
                </c:pt>
                <c:pt idx="19">
                  <c:v>1346.153846153846</c:v>
                </c:pt>
                <c:pt idx="20">
                  <c:v>1282.051282051282</c:v>
                </c:pt>
                <c:pt idx="21">
                  <c:v>1217.9487179487178</c:v>
                </c:pt>
                <c:pt idx="22">
                  <c:v>1153.8461538461538</c:v>
                </c:pt>
                <c:pt idx="23">
                  <c:v>1089.7435897435896</c:v>
                </c:pt>
                <c:pt idx="24">
                  <c:v>1025.6410256410254</c:v>
                </c:pt>
                <c:pt idx="25">
                  <c:v>961.53846153846143</c:v>
                </c:pt>
                <c:pt idx="26">
                  <c:v>897.43589743589723</c:v>
                </c:pt>
                <c:pt idx="27">
                  <c:v>833.33333333333326</c:v>
                </c:pt>
                <c:pt idx="28">
                  <c:v>769.23076923076906</c:v>
                </c:pt>
                <c:pt idx="29">
                  <c:v>705.12820512820508</c:v>
                </c:pt>
                <c:pt idx="30">
                  <c:v>641.02564102564088</c:v>
                </c:pt>
                <c:pt idx="31">
                  <c:v>576.92307692307691</c:v>
                </c:pt>
                <c:pt idx="32">
                  <c:v>512.8205128205127</c:v>
                </c:pt>
                <c:pt idx="33">
                  <c:v>448.71794871794873</c:v>
                </c:pt>
                <c:pt idx="34">
                  <c:v>384.6153846153843</c:v>
                </c:pt>
                <c:pt idx="35">
                  <c:v>320.51282051282033</c:v>
                </c:pt>
                <c:pt idx="36">
                  <c:v>256.41025641025635</c:v>
                </c:pt>
                <c:pt idx="37">
                  <c:v>192.30769230769238</c:v>
                </c:pt>
                <c:pt idx="38">
                  <c:v>128.20512820512795</c:v>
                </c:pt>
                <c:pt idx="39">
                  <c:v>64.102564102563974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6EC7-46A7-BAD8-59F98C3CF4AC}"/>
            </c:ext>
          </c:extLst>
        </c:ser>
        <c:ser>
          <c:idx val="6"/>
          <c:order val="4"/>
          <c:spPr>
            <a:solidFill>
              <a:schemeClr val="accent1">
                <a:lumMod val="80000"/>
                <a:lumOff val="2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numRef>
              <c:f>Лист1!$H$2:$H$41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Лист1!$O$2:$O$41</c:f>
              <c:numCache>
                <c:formatCode>0</c:formatCode>
                <c:ptCount val="40"/>
                <c:pt idx="0">
                  <c:v>2564.102564102564</c:v>
                </c:pt>
                <c:pt idx="1">
                  <c:v>2564.102564102564</c:v>
                </c:pt>
                <c:pt idx="2">
                  <c:v>2564.102564102564</c:v>
                </c:pt>
                <c:pt idx="3">
                  <c:v>2564.102564102564</c:v>
                </c:pt>
                <c:pt idx="4">
                  <c:v>2564.102564102564</c:v>
                </c:pt>
                <c:pt idx="5">
                  <c:v>2564.102564102564</c:v>
                </c:pt>
                <c:pt idx="6">
                  <c:v>2564.102564102564</c:v>
                </c:pt>
                <c:pt idx="7">
                  <c:v>2564.102564102564</c:v>
                </c:pt>
                <c:pt idx="8">
                  <c:v>2564.102564102564</c:v>
                </c:pt>
                <c:pt idx="9">
                  <c:v>2564.102564102564</c:v>
                </c:pt>
                <c:pt idx="10">
                  <c:v>2564.102564102564</c:v>
                </c:pt>
                <c:pt idx="11">
                  <c:v>2564.102564102564</c:v>
                </c:pt>
                <c:pt idx="12">
                  <c:v>2564.102564102564</c:v>
                </c:pt>
                <c:pt idx="13">
                  <c:v>2564.102564102564</c:v>
                </c:pt>
                <c:pt idx="14">
                  <c:v>1282.051282051282</c:v>
                </c:pt>
                <c:pt idx="15">
                  <c:v>1282.051282051282</c:v>
                </c:pt>
                <c:pt idx="16">
                  <c:v>1282.051282051282</c:v>
                </c:pt>
                <c:pt idx="17">
                  <c:v>1282.051282051282</c:v>
                </c:pt>
                <c:pt idx="18">
                  <c:v>1282.051282051282</c:v>
                </c:pt>
                <c:pt idx="19">
                  <c:v>1282.051282051282</c:v>
                </c:pt>
                <c:pt idx="20">
                  <c:v>1282.051282051282</c:v>
                </c:pt>
                <c:pt idx="21">
                  <c:v>1282.051282051282</c:v>
                </c:pt>
                <c:pt idx="22">
                  <c:v>1282.051282051282</c:v>
                </c:pt>
                <c:pt idx="23">
                  <c:v>1282.051282051282</c:v>
                </c:pt>
                <c:pt idx="24">
                  <c:v>854.70085470085473</c:v>
                </c:pt>
                <c:pt idx="25">
                  <c:v>854.70085470085473</c:v>
                </c:pt>
                <c:pt idx="26">
                  <c:v>854.70085470085473</c:v>
                </c:pt>
                <c:pt idx="27">
                  <c:v>854.70085470085473</c:v>
                </c:pt>
                <c:pt idx="28">
                  <c:v>854.70085470085473</c:v>
                </c:pt>
                <c:pt idx="29">
                  <c:v>641.02564102564099</c:v>
                </c:pt>
                <c:pt idx="30">
                  <c:v>641.02564102564099</c:v>
                </c:pt>
                <c:pt idx="31">
                  <c:v>641.02564102564099</c:v>
                </c:pt>
                <c:pt idx="32">
                  <c:v>512.82051282051282</c:v>
                </c:pt>
                <c:pt idx="33">
                  <c:v>427.35042735042737</c:v>
                </c:pt>
                <c:pt idx="34">
                  <c:v>366.30036630036631</c:v>
                </c:pt>
                <c:pt idx="35">
                  <c:v>320.5128205128205</c:v>
                </c:pt>
                <c:pt idx="36">
                  <c:v>256.41025641025641</c:v>
                </c:pt>
                <c:pt idx="37">
                  <c:v>197.23865877712032</c:v>
                </c:pt>
                <c:pt idx="38">
                  <c:v>128.2051282051282</c:v>
                </c:pt>
                <c:pt idx="39">
                  <c:v>64.102564102564102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6EC7-46A7-BAD8-59F98C3C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0005904"/>
        <c:axId val="1630014544"/>
        <c:extLst/>
      </c:barChart>
      <c:lineChart>
        <c:grouping val="standard"/>
        <c:varyColors val="0"/>
        <c:ser>
          <c:idx val="2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Лист1!$J$2:$J$41</c:f>
              <c:numCache>
                <c:formatCode>0.0</c:formatCode>
                <c:ptCount val="40"/>
                <c:pt idx="0">
                  <c:v>32.051282051282051</c:v>
                </c:pt>
                <c:pt idx="1">
                  <c:v>16.025641025641026</c:v>
                </c:pt>
                <c:pt idx="2">
                  <c:v>10.683760683760683</c:v>
                </c:pt>
                <c:pt idx="3">
                  <c:v>8.0128205128205128</c:v>
                </c:pt>
                <c:pt idx="4">
                  <c:v>6.4102564102564097</c:v>
                </c:pt>
                <c:pt idx="5">
                  <c:v>5.3418803418803416</c:v>
                </c:pt>
                <c:pt idx="6">
                  <c:v>4.5787545787545785</c:v>
                </c:pt>
                <c:pt idx="7">
                  <c:v>4.0064102564102564</c:v>
                </c:pt>
                <c:pt idx="8">
                  <c:v>3.5612535612535612</c:v>
                </c:pt>
                <c:pt idx="9">
                  <c:v>3.2051282051282048</c:v>
                </c:pt>
                <c:pt idx="10">
                  <c:v>2.9137529137529135</c:v>
                </c:pt>
                <c:pt idx="11">
                  <c:v>2.6709401709401708</c:v>
                </c:pt>
                <c:pt idx="12">
                  <c:v>2.4654832347140041</c:v>
                </c:pt>
                <c:pt idx="13">
                  <c:v>2.2893772893772892</c:v>
                </c:pt>
                <c:pt idx="14">
                  <c:v>2.1367521367521367</c:v>
                </c:pt>
                <c:pt idx="15">
                  <c:v>2.0032051282051282</c:v>
                </c:pt>
                <c:pt idx="16">
                  <c:v>1.8853695324283561</c:v>
                </c:pt>
                <c:pt idx="17">
                  <c:v>1.7806267806267806</c:v>
                </c:pt>
                <c:pt idx="18">
                  <c:v>1.6869095816464239</c:v>
                </c:pt>
                <c:pt idx="19">
                  <c:v>1.6025641025641024</c:v>
                </c:pt>
                <c:pt idx="20">
                  <c:v>1.5262515262515262</c:v>
                </c:pt>
                <c:pt idx="21">
                  <c:v>1.4568764568764567</c:v>
                </c:pt>
                <c:pt idx="22">
                  <c:v>1.3935340022296543</c:v>
                </c:pt>
                <c:pt idx="23">
                  <c:v>1.3354700854700854</c:v>
                </c:pt>
                <c:pt idx="24">
                  <c:v>1.2820512820512819</c:v>
                </c:pt>
                <c:pt idx="25">
                  <c:v>1.2327416173570021</c:v>
                </c:pt>
                <c:pt idx="26">
                  <c:v>1.1870845204178537</c:v>
                </c:pt>
                <c:pt idx="27">
                  <c:v>1.1446886446886446</c:v>
                </c:pt>
                <c:pt idx="28">
                  <c:v>1.1052166224580018</c:v>
                </c:pt>
                <c:pt idx="29">
                  <c:v>1.0683760683760684</c:v>
                </c:pt>
                <c:pt idx="30">
                  <c:v>1.0339123242349049</c:v>
                </c:pt>
                <c:pt idx="31">
                  <c:v>1.0016025641025641</c:v>
                </c:pt>
                <c:pt idx="32">
                  <c:v>0.97125097125097126</c:v>
                </c:pt>
                <c:pt idx="33">
                  <c:v>0.94268476621417807</c:v>
                </c:pt>
                <c:pt idx="34">
                  <c:v>0.91575091575091561</c:v>
                </c:pt>
                <c:pt idx="35">
                  <c:v>0.8903133903133903</c:v>
                </c:pt>
                <c:pt idx="36">
                  <c:v>0.86625086625086622</c:v>
                </c:pt>
                <c:pt idx="37">
                  <c:v>0.84345479082321195</c:v>
                </c:pt>
                <c:pt idx="38">
                  <c:v>0.82182774490466803</c:v>
                </c:pt>
                <c:pt idx="39">
                  <c:v>0.80128205128205121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7-46A7-BAD8-59F98C3CF4AC}"/>
            </c:ext>
          </c:extLst>
        </c:ser>
        <c:ser>
          <c:idx val="4"/>
          <c:order val="3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C7-46A7-BAD8-59F98C3CF4AC}"/>
              </c:ext>
            </c:extLst>
          </c:dPt>
          <c:val>
            <c:numRef>
              <c:f>Лист1!$M$2:$M$41</c:f>
              <c:numCache>
                <c:formatCode>0.0</c:formatCode>
                <c:ptCount val="40"/>
                <c:pt idx="0">
                  <c:v>32.051282051282051</c:v>
                </c:pt>
                <c:pt idx="1">
                  <c:v>31.25</c:v>
                </c:pt>
                <c:pt idx="2">
                  <c:v>30.448717948717945</c:v>
                </c:pt>
                <c:pt idx="3">
                  <c:v>29.647435897435894</c:v>
                </c:pt>
                <c:pt idx="4">
                  <c:v>28.846153846153847</c:v>
                </c:pt>
                <c:pt idx="5">
                  <c:v>28.044871794871796</c:v>
                </c:pt>
                <c:pt idx="6">
                  <c:v>27.243589743589741</c:v>
                </c:pt>
                <c:pt idx="7">
                  <c:v>26.44230769230769</c:v>
                </c:pt>
                <c:pt idx="8">
                  <c:v>25.641025641025639</c:v>
                </c:pt>
                <c:pt idx="9">
                  <c:v>24.839743589743588</c:v>
                </c:pt>
                <c:pt idx="10">
                  <c:v>24.038461538461533</c:v>
                </c:pt>
                <c:pt idx="11">
                  <c:v>23.237179487179489</c:v>
                </c:pt>
                <c:pt idx="12">
                  <c:v>22.435897435897431</c:v>
                </c:pt>
                <c:pt idx="13">
                  <c:v>21.63461538461538</c:v>
                </c:pt>
                <c:pt idx="14">
                  <c:v>20.833333333333329</c:v>
                </c:pt>
                <c:pt idx="15">
                  <c:v>20.032051282051281</c:v>
                </c:pt>
                <c:pt idx="16">
                  <c:v>19.23076923076923</c:v>
                </c:pt>
                <c:pt idx="17">
                  <c:v>18.429487179487179</c:v>
                </c:pt>
                <c:pt idx="18">
                  <c:v>17.628205128205128</c:v>
                </c:pt>
                <c:pt idx="19">
                  <c:v>16.826923076923073</c:v>
                </c:pt>
                <c:pt idx="20">
                  <c:v>16.025641025641026</c:v>
                </c:pt>
                <c:pt idx="21">
                  <c:v>15.224358974358973</c:v>
                </c:pt>
                <c:pt idx="22">
                  <c:v>14.423076923076923</c:v>
                </c:pt>
                <c:pt idx="23">
                  <c:v>13.62179487179487</c:v>
                </c:pt>
                <c:pt idx="24">
                  <c:v>12.820512820512818</c:v>
                </c:pt>
                <c:pt idx="25">
                  <c:v>12.019230769230766</c:v>
                </c:pt>
                <c:pt idx="26">
                  <c:v>11.217948717948715</c:v>
                </c:pt>
                <c:pt idx="27">
                  <c:v>10.416666666666664</c:v>
                </c:pt>
                <c:pt idx="28">
                  <c:v>9.6153846153846132</c:v>
                </c:pt>
                <c:pt idx="29">
                  <c:v>8.8141025641025639</c:v>
                </c:pt>
                <c:pt idx="30">
                  <c:v>8.012820512820511</c:v>
                </c:pt>
                <c:pt idx="31">
                  <c:v>7.2115384615384617</c:v>
                </c:pt>
                <c:pt idx="32">
                  <c:v>6.4102564102564088</c:v>
                </c:pt>
                <c:pt idx="33">
                  <c:v>5.6089743589743595</c:v>
                </c:pt>
                <c:pt idx="34">
                  <c:v>4.8076923076923039</c:v>
                </c:pt>
                <c:pt idx="35">
                  <c:v>4.0064102564102537</c:v>
                </c:pt>
                <c:pt idx="36">
                  <c:v>3.2051282051282044</c:v>
                </c:pt>
                <c:pt idx="37">
                  <c:v>2.4038461538461546</c:v>
                </c:pt>
                <c:pt idx="38">
                  <c:v>1.6025641025640993</c:v>
                </c:pt>
                <c:pt idx="39">
                  <c:v>0.80128205128204966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C7-46A7-BAD8-59F98C3CF4AC}"/>
            </c:ext>
          </c:extLst>
        </c:ser>
        <c:ser>
          <c:idx val="7"/>
          <c:order val="5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Лист1!$P$2:$P$41</c:f>
              <c:numCache>
                <c:formatCode>0.0</c:formatCode>
                <c:ptCount val="40"/>
                <c:pt idx="0">
                  <c:v>32.051282051282051</c:v>
                </c:pt>
                <c:pt idx="1">
                  <c:v>32.051282051282051</c:v>
                </c:pt>
                <c:pt idx="2">
                  <c:v>32.051282051282051</c:v>
                </c:pt>
                <c:pt idx="3">
                  <c:v>32.051282051282051</c:v>
                </c:pt>
                <c:pt idx="4">
                  <c:v>32.051282051282051</c:v>
                </c:pt>
                <c:pt idx="5">
                  <c:v>32.051282051282051</c:v>
                </c:pt>
                <c:pt idx="6">
                  <c:v>32.051282051282051</c:v>
                </c:pt>
                <c:pt idx="7">
                  <c:v>32.051282051282051</c:v>
                </c:pt>
                <c:pt idx="8">
                  <c:v>32.051282051282051</c:v>
                </c:pt>
                <c:pt idx="9">
                  <c:v>32.051282051282051</c:v>
                </c:pt>
                <c:pt idx="10">
                  <c:v>32.051282051282051</c:v>
                </c:pt>
                <c:pt idx="11">
                  <c:v>32.051282051282051</c:v>
                </c:pt>
                <c:pt idx="12">
                  <c:v>32.051282051282051</c:v>
                </c:pt>
                <c:pt idx="13">
                  <c:v>32.051282051282051</c:v>
                </c:pt>
                <c:pt idx="14">
                  <c:v>16.025641025641026</c:v>
                </c:pt>
                <c:pt idx="15">
                  <c:v>16.025641025641026</c:v>
                </c:pt>
                <c:pt idx="16">
                  <c:v>16.025641025641026</c:v>
                </c:pt>
                <c:pt idx="17">
                  <c:v>16.025641025641026</c:v>
                </c:pt>
                <c:pt idx="18">
                  <c:v>16.025641025641026</c:v>
                </c:pt>
                <c:pt idx="19">
                  <c:v>16.025641025641026</c:v>
                </c:pt>
                <c:pt idx="20">
                  <c:v>16.025641025641026</c:v>
                </c:pt>
                <c:pt idx="21">
                  <c:v>16.025641025641026</c:v>
                </c:pt>
                <c:pt idx="22">
                  <c:v>16.025641025641026</c:v>
                </c:pt>
                <c:pt idx="23">
                  <c:v>16.025641025641026</c:v>
                </c:pt>
                <c:pt idx="24">
                  <c:v>10.683760683760683</c:v>
                </c:pt>
                <c:pt idx="25">
                  <c:v>10.683760683760683</c:v>
                </c:pt>
                <c:pt idx="26">
                  <c:v>10.683760683760683</c:v>
                </c:pt>
                <c:pt idx="27">
                  <c:v>10.683760683760683</c:v>
                </c:pt>
                <c:pt idx="28">
                  <c:v>10.683760683760683</c:v>
                </c:pt>
                <c:pt idx="29">
                  <c:v>8.0128205128205128</c:v>
                </c:pt>
                <c:pt idx="30">
                  <c:v>8.0128205128205128</c:v>
                </c:pt>
                <c:pt idx="31">
                  <c:v>8.0128205128205128</c:v>
                </c:pt>
                <c:pt idx="32">
                  <c:v>6.4102564102564097</c:v>
                </c:pt>
                <c:pt idx="33">
                  <c:v>5.3418803418803416</c:v>
                </c:pt>
                <c:pt idx="34">
                  <c:v>4.5787545787545785</c:v>
                </c:pt>
                <c:pt idx="35">
                  <c:v>4.0064102564102564</c:v>
                </c:pt>
                <c:pt idx="36">
                  <c:v>3.2051282051282048</c:v>
                </c:pt>
                <c:pt idx="37">
                  <c:v>2.4654832347140041</c:v>
                </c:pt>
                <c:pt idx="38">
                  <c:v>1.6025641025641024</c:v>
                </c:pt>
                <c:pt idx="39">
                  <c:v>0.80128205128205121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C7-46A7-BAD8-59F98C3C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61360"/>
        <c:axId val="1676221536"/>
      </c:lineChart>
      <c:catAx>
        <c:axId val="16300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014544"/>
        <c:crosses val="autoZero"/>
        <c:auto val="1"/>
        <c:lblAlgn val="ctr"/>
        <c:lblOffset val="100"/>
        <c:noMultiLvlLbl val="0"/>
      </c:catAx>
      <c:valAx>
        <c:axId val="16300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005904"/>
        <c:crosses val="autoZero"/>
        <c:crossBetween val="between"/>
      </c:valAx>
      <c:valAx>
        <c:axId val="167622153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61360"/>
        <c:crosses val="max"/>
        <c:crossBetween val="between"/>
      </c:valAx>
      <c:catAx>
        <c:axId val="34961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676221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316416</xdr:colOff>
      <xdr:row>2</xdr:row>
      <xdr:rowOff>175787</xdr:rowOff>
    </xdr:from>
    <xdr:to>
      <xdr:col>66</xdr:col>
      <xdr:colOff>100506</xdr:colOff>
      <xdr:row>42</xdr:row>
      <xdr:rowOff>163153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8E68C77-6FE5-4CDE-9ABC-587B0DC69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A113-BD7B-489B-BF19-C50A13AA626D}">
  <dimension ref="A1:T41"/>
  <sheetViews>
    <sheetView tabSelected="1" topLeftCell="J1" zoomScale="38" zoomScaleNormal="79" workbookViewId="0">
      <selection activeCell="A6" sqref="A6"/>
    </sheetView>
  </sheetViews>
  <sheetFormatPr defaultRowHeight="14.4" x14ac:dyDescent="0.3"/>
  <cols>
    <col min="1" max="1" width="12.88671875" customWidth="1"/>
    <col min="2" max="2" width="12.77734375" customWidth="1"/>
    <col min="3" max="3" width="9.5546875" bestFit="1" customWidth="1"/>
    <col min="4" max="4" width="8.33203125" customWidth="1"/>
    <col min="5" max="5" width="9.77734375" customWidth="1"/>
    <col min="6" max="7" width="8.88671875" customWidth="1"/>
    <col min="9" max="9" width="11.33203125" bestFit="1" customWidth="1"/>
    <col min="10" max="10" width="9.109375" bestFit="1" customWidth="1"/>
    <col min="11" max="12" width="11.33203125" bestFit="1" customWidth="1"/>
    <col min="13" max="13" width="9.109375" bestFit="1" customWidth="1"/>
  </cols>
  <sheetData>
    <row r="1" spans="1:20" x14ac:dyDescent="0.3">
      <c r="A1" s="15" t="s">
        <v>17</v>
      </c>
      <c r="B1" s="15" t="s">
        <v>18</v>
      </c>
      <c r="C1" s="15" t="s">
        <v>19</v>
      </c>
      <c r="D1" s="15"/>
      <c r="E1" s="15"/>
      <c r="G1" s="14" t="s">
        <v>13</v>
      </c>
      <c r="H1" s="4" t="s">
        <v>5</v>
      </c>
      <c r="I1" s="4" t="s">
        <v>6</v>
      </c>
      <c r="J1" s="4" t="s">
        <v>7</v>
      </c>
      <c r="K1" s="5" t="s">
        <v>20</v>
      </c>
      <c r="L1" s="5" t="s">
        <v>8</v>
      </c>
      <c r="M1" s="5" t="s">
        <v>9</v>
      </c>
      <c r="N1" s="6" t="s">
        <v>10</v>
      </c>
      <c r="O1" s="6" t="s">
        <v>11</v>
      </c>
      <c r="P1" s="6" t="s">
        <v>12</v>
      </c>
      <c r="T1" t="s">
        <v>21</v>
      </c>
    </row>
    <row r="2" spans="1:20" x14ac:dyDescent="0.3">
      <c r="A2" s="15"/>
      <c r="B2" s="15"/>
      <c r="C2" s="15"/>
      <c r="D2" s="15"/>
      <c r="E2" s="15"/>
      <c r="G2" s="14">
        <v>1</v>
      </c>
      <c r="H2">
        <f t="shared" ref="H2:H41" si="0">IF((OR(AND((G2&lt;$A$3),(G2&lt;$B$3)),AND((G2&gt;$A$3),(G2&gt;$B$3)))),0,IF(($A$3&gt;$B$3),($A$3-G2+1),G2))</f>
        <v>1</v>
      </c>
      <c r="I2" s="8">
        <f>IF(((H2)&gt;0),($C$26*1000/($B$23*H2)),(0))</f>
        <v>2564.102564102564</v>
      </c>
      <c r="J2" s="9">
        <f>I2*10/$B$22</f>
        <v>32.051282051282051</v>
      </c>
      <c r="K2" s="1">
        <f>IF((H2&gt;0),($C$26*1000/(L2*$B$23)),(0))</f>
        <v>1</v>
      </c>
      <c r="L2" s="12">
        <f>IF((H2&gt;0),($C$27-($C$29*(H2-$A$3))),0)</f>
        <v>2564.102564102564</v>
      </c>
      <c r="M2" s="10">
        <f>L2*10/$B$22</f>
        <v>32.051282051282051</v>
      </c>
      <c r="N2" s="3">
        <f>IF((H2&gt;0),(ROUND(($C$26*1000/(L2*$B$23)),0)),(0))</f>
        <v>1</v>
      </c>
      <c r="O2" s="13">
        <f>IF((H2&gt;0),($C$26*1000/($B$23*N2)),(0))</f>
        <v>2564.102564102564</v>
      </c>
      <c r="P2" s="11">
        <f>O2*10/$B$22</f>
        <v>32.051282051282051</v>
      </c>
    </row>
    <row r="3" spans="1:20" ht="14.4" customHeight="1" x14ac:dyDescent="0.3">
      <c r="A3" s="16">
        <v>1</v>
      </c>
      <c r="B3" s="16">
        <v>40</v>
      </c>
      <c r="C3" s="16">
        <v>2000</v>
      </c>
      <c r="D3" s="16"/>
      <c r="E3" s="16"/>
      <c r="G3" s="14">
        <v>2</v>
      </c>
      <c r="H3">
        <f t="shared" si="0"/>
        <v>2</v>
      </c>
      <c r="I3" s="8">
        <f t="shared" ref="I3:I41" si="1">IF(((H3)&gt;0),($C$26*1000/($B$23*H3)),(0))</f>
        <v>1282.051282051282</v>
      </c>
      <c r="J3" s="9">
        <f t="shared" ref="J3:J41" si="2">I3*10/$B$22</f>
        <v>16.025641025641026</v>
      </c>
      <c r="K3" s="1">
        <f t="shared" ref="K3:K41" si="3">IF((H3&gt;0),($C$26*1000/(L3*$B$23)),(0))</f>
        <v>1.0256410256410255</v>
      </c>
      <c r="L3" s="12">
        <f t="shared" ref="L2:L41" si="4">IF((H3&gt;0),($C$27-($C$29*(H3-$A$3))),0)</f>
        <v>2500</v>
      </c>
      <c r="M3" s="10">
        <f t="shared" ref="M3:M41" si="5">L3*10/$B$22</f>
        <v>31.25</v>
      </c>
      <c r="N3" s="3">
        <f t="shared" ref="N3:N41" si="6">IF((H3&gt;0),(ROUND(($C$26*1000/(L3*$B$23)),0)),(0))</f>
        <v>1</v>
      </c>
      <c r="O3" s="13">
        <f t="shared" ref="O2:O41" si="7">IF((H3&gt;0),($C$26*1000/($B$23*N3)),(0))</f>
        <v>2564.102564102564</v>
      </c>
      <c r="P3" s="11">
        <f t="shared" ref="P3:P41" si="8">O3*10/$B$22</f>
        <v>32.051282051282051</v>
      </c>
    </row>
    <row r="4" spans="1:20" ht="14.4" customHeight="1" x14ac:dyDescent="0.3">
      <c r="A4" s="16"/>
      <c r="B4" s="16"/>
      <c r="C4" s="16"/>
      <c r="D4" s="16"/>
      <c r="E4" s="16"/>
      <c r="G4" s="14">
        <v>3</v>
      </c>
      <c r="H4">
        <f t="shared" si="0"/>
        <v>3</v>
      </c>
      <c r="I4" s="8">
        <f t="shared" si="1"/>
        <v>854.70085470085473</v>
      </c>
      <c r="J4" s="9">
        <f t="shared" si="2"/>
        <v>10.683760683760683</v>
      </c>
      <c r="K4" s="1">
        <f t="shared" si="3"/>
        <v>1.0526315789473686</v>
      </c>
      <c r="L4" s="12">
        <f t="shared" si="4"/>
        <v>2435.8974358974356</v>
      </c>
      <c r="M4" s="10">
        <f t="shared" si="5"/>
        <v>30.448717948717945</v>
      </c>
      <c r="N4" s="3">
        <f t="shared" si="6"/>
        <v>1</v>
      </c>
      <c r="O4" s="13">
        <f t="shared" si="7"/>
        <v>2564.102564102564</v>
      </c>
      <c r="P4" s="11">
        <f t="shared" si="8"/>
        <v>32.051282051282051</v>
      </c>
    </row>
    <row r="5" spans="1:20" ht="14.4" customHeight="1" x14ac:dyDescent="0.3">
      <c r="A5" s="16"/>
      <c r="B5" s="16"/>
      <c r="C5" s="16"/>
      <c r="D5" s="16"/>
      <c r="E5" s="16"/>
      <c r="G5" s="14">
        <v>4</v>
      </c>
      <c r="H5">
        <f t="shared" si="0"/>
        <v>4</v>
      </c>
      <c r="I5" s="8">
        <f t="shared" si="1"/>
        <v>641.02564102564099</v>
      </c>
      <c r="J5" s="9">
        <f t="shared" si="2"/>
        <v>8.0128205128205128</v>
      </c>
      <c r="K5" s="1">
        <f t="shared" si="3"/>
        <v>1.0810810810810811</v>
      </c>
      <c r="L5" s="12">
        <f t="shared" si="4"/>
        <v>2371.7948717948716</v>
      </c>
      <c r="M5" s="10">
        <f t="shared" si="5"/>
        <v>29.647435897435894</v>
      </c>
      <c r="N5" s="3">
        <f t="shared" si="6"/>
        <v>1</v>
      </c>
      <c r="O5" s="13">
        <f t="shared" si="7"/>
        <v>2564.102564102564</v>
      </c>
      <c r="P5" s="11">
        <f t="shared" si="8"/>
        <v>32.051282051282051</v>
      </c>
    </row>
    <row r="6" spans="1:20" x14ac:dyDescent="0.3">
      <c r="G6" s="14">
        <v>5</v>
      </c>
      <c r="H6">
        <f t="shared" si="0"/>
        <v>5</v>
      </c>
      <c r="I6" s="8">
        <f t="shared" si="1"/>
        <v>512.82051282051282</v>
      </c>
      <c r="J6" s="9">
        <f t="shared" si="2"/>
        <v>6.4102564102564097</v>
      </c>
      <c r="K6" s="1">
        <f t="shared" si="3"/>
        <v>1.1111111111111109</v>
      </c>
      <c r="L6" s="12">
        <f t="shared" si="4"/>
        <v>2307.6923076923076</v>
      </c>
      <c r="M6" s="10">
        <f t="shared" si="5"/>
        <v>28.846153846153847</v>
      </c>
      <c r="N6" s="3">
        <f t="shared" si="6"/>
        <v>1</v>
      </c>
      <c r="O6" s="13">
        <f t="shared" si="7"/>
        <v>2564.102564102564</v>
      </c>
      <c r="P6" s="11">
        <f t="shared" si="8"/>
        <v>32.051282051282051</v>
      </c>
    </row>
    <row r="7" spans="1:20" x14ac:dyDescent="0.3">
      <c r="G7" s="14">
        <v>6</v>
      </c>
      <c r="H7">
        <f t="shared" si="0"/>
        <v>6</v>
      </c>
      <c r="I7" s="8">
        <f t="shared" si="1"/>
        <v>427.35042735042737</v>
      </c>
      <c r="J7" s="9">
        <f t="shared" si="2"/>
        <v>5.3418803418803416</v>
      </c>
      <c r="K7" s="1">
        <f t="shared" si="3"/>
        <v>1.1428571428571428</v>
      </c>
      <c r="L7" s="12">
        <f t="shared" si="4"/>
        <v>2243.5897435897436</v>
      </c>
      <c r="M7" s="10">
        <f t="shared" si="5"/>
        <v>28.044871794871796</v>
      </c>
      <c r="N7" s="3">
        <f t="shared" si="6"/>
        <v>1</v>
      </c>
      <c r="O7" s="13">
        <f t="shared" si="7"/>
        <v>2564.102564102564</v>
      </c>
      <c r="P7" s="11">
        <f t="shared" si="8"/>
        <v>32.051282051282051</v>
      </c>
    </row>
    <row r="8" spans="1:20" ht="14.4" customHeight="1" x14ac:dyDescent="0.3">
      <c r="G8" s="14">
        <v>7</v>
      </c>
      <c r="H8">
        <f t="shared" si="0"/>
        <v>7</v>
      </c>
      <c r="I8" s="8">
        <f t="shared" si="1"/>
        <v>366.30036630036631</v>
      </c>
      <c r="J8" s="9">
        <f t="shared" si="2"/>
        <v>4.5787545787545785</v>
      </c>
      <c r="K8" s="1">
        <f t="shared" si="3"/>
        <v>1.1764705882352942</v>
      </c>
      <c r="L8" s="12">
        <f t="shared" si="4"/>
        <v>2179.4871794871792</v>
      </c>
      <c r="M8" s="10">
        <f t="shared" si="5"/>
        <v>27.243589743589741</v>
      </c>
      <c r="N8" s="3">
        <f t="shared" si="6"/>
        <v>1</v>
      </c>
      <c r="O8" s="13">
        <f t="shared" si="7"/>
        <v>2564.102564102564</v>
      </c>
      <c r="P8" s="11">
        <f t="shared" si="8"/>
        <v>32.051282051282051</v>
      </c>
    </row>
    <row r="9" spans="1:20" ht="14.4" customHeight="1" x14ac:dyDescent="0.3">
      <c r="G9" s="14">
        <v>8</v>
      </c>
      <c r="H9">
        <f t="shared" si="0"/>
        <v>8</v>
      </c>
      <c r="I9" s="8">
        <f t="shared" si="1"/>
        <v>320.5128205128205</v>
      </c>
      <c r="J9" s="9">
        <f t="shared" si="2"/>
        <v>4.0064102564102564</v>
      </c>
      <c r="K9" s="1">
        <f t="shared" si="3"/>
        <v>1.2121212121212122</v>
      </c>
      <c r="L9" s="12">
        <f t="shared" si="4"/>
        <v>2115.3846153846152</v>
      </c>
      <c r="M9" s="10">
        <f t="shared" si="5"/>
        <v>26.44230769230769</v>
      </c>
      <c r="N9" s="3">
        <f t="shared" si="6"/>
        <v>1</v>
      </c>
      <c r="O9" s="13">
        <f t="shared" si="7"/>
        <v>2564.102564102564</v>
      </c>
      <c r="P9" s="11">
        <f t="shared" si="8"/>
        <v>32.051282051282051</v>
      </c>
    </row>
    <row r="10" spans="1:20" ht="14.4" customHeight="1" x14ac:dyDescent="0.3">
      <c r="G10" s="14">
        <v>9</v>
      </c>
      <c r="H10">
        <f t="shared" si="0"/>
        <v>9</v>
      </c>
      <c r="I10" s="8">
        <f t="shared" si="1"/>
        <v>284.90028490028487</v>
      </c>
      <c r="J10" s="9">
        <f t="shared" si="2"/>
        <v>3.5612535612535612</v>
      </c>
      <c r="K10" s="1">
        <f t="shared" si="3"/>
        <v>1.25</v>
      </c>
      <c r="L10" s="12">
        <f t="shared" si="4"/>
        <v>2051.2820512820513</v>
      </c>
      <c r="M10" s="10">
        <f t="shared" si="5"/>
        <v>25.641025641025639</v>
      </c>
      <c r="N10" s="3">
        <f t="shared" si="6"/>
        <v>1</v>
      </c>
      <c r="O10" s="13">
        <f t="shared" si="7"/>
        <v>2564.102564102564</v>
      </c>
      <c r="P10" s="11">
        <f t="shared" si="8"/>
        <v>32.051282051282051</v>
      </c>
    </row>
    <row r="11" spans="1:20" x14ac:dyDescent="0.3">
      <c r="G11" s="14">
        <v>10</v>
      </c>
      <c r="H11">
        <f t="shared" si="0"/>
        <v>10</v>
      </c>
      <c r="I11" s="8">
        <f t="shared" si="1"/>
        <v>256.41025641025641</v>
      </c>
      <c r="J11" s="9">
        <f t="shared" si="2"/>
        <v>3.2051282051282048</v>
      </c>
      <c r="K11" s="1">
        <f t="shared" si="3"/>
        <v>1.2903225806451613</v>
      </c>
      <c r="L11" s="12">
        <f t="shared" si="4"/>
        <v>1987.1794871794871</v>
      </c>
      <c r="M11" s="10">
        <f t="shared" si="5"/>
        <v>24.839743589743588</v>
      </c>
      <c r="N11" s="3">
        <f t="shared" si="6"/>
        <v>1</v>
      </c>
      <c r="O11" s="13">
        <f t="shared" si="7"/>
        <v>2564.102564102564</v>
      </c>
      <c r="P11" s="11">
        <f t="shared" si="8"/>
        <v>32.051282051282051</v>
      </c>
    </row>
    <row r="12" spans="1:20" x14ac:dyDescent="0.3">
      <c r="G12" s="14">
        <v>11</v>
      </c>
      <c r="H12">
        <f t="shared" si="0"/>
        <v>11</v>
      </c>
      <c r="I12" s="8">
        <f t="shared" si="1"/>
        <v>233.10023310023308</v>
      </c>
      <c r="J12" s="9">
        <f t="shared" si="2"/>
        <v>2.9137529137529135</v>
      </c>
      <c r="K12" s="1">
        <f t="shared" si="3"/>
        <v>1.3333333333333335</v>
      </c>
      <c r="L12" s="12">
        <f t="shared" si="4"/>
        <v>1923.0769230769229</v>
      </c>
      <c r="M12" s="10">
        <f t="shared" si="5"/>
        <v>24.038461538461533</v>
      </c>
      <c r="N12" s="3">
        <f t="shared" si="6"/>
        <v>1</v>
      </c>
      <c r="O12" s="13">
        <f t="shared" si="7"/>
        <v>2564.102564102564</v>
      </c>
      <c r="P12" s="11">
        <f t="shared" si="8"/>
        <v>32.051282051282051</v>
      </c>
    </row>
    <row r="13" spans="1:20" x14ac:dyDescent="0.3">
      <c r="G13" s="14">
        <v>12</v>
      </c>
      <c r="H13">
        <f t="shared" si="0"/>
        <v>12</v>
      </c>
      <c r="I13" s="8">
        <f t="shared" si="1"/>
        <v>213.67521367521368</v>
      </c>
      <c r="J13" s="9">
        <f t="shared" si="2"/>
        <v>2.6709401709401708</v>
      </c>
      <c r="K13" s="1">
        <f t="shared" si="3"/>
        <v>1.3793103448275861</v>
      </c>
      <c r="L13" s="12">
        <f t="shared" si="4"/>
        <v>1858.9743589743589</v>
      </c>
      <c r="M13" s="10">
        <f t="shared" si="5"/>
        <v>23.237179487179489</v>
      </c>
      <c r="N13" s="3">
        <f t="shared" si="6"/>
        <v>1</v>
      </c>
      <c r="O13" s="13">
        <f t="shared" si="7"/>
        <v>2564.102564102564</v>
      </c>
      <c r="P13" s="11">
        <f t="shared" si="8"/>
        <v>32.051282051282051</v>
      </c>
    </row>
    <row r="14" spans="1:20" x14ac:dyDescent="0.3">
      <c r="G14" s="14">
        <v>13</v>
      </c>
      <c r="H14">
        <f t="shared" si="0"/>
        <v>13</v>
      </c>
      <c r="I14" s="8">
        <f t="shared" si="1"/>
        <v>197.23865877712032</v>
      </c>
      <c r="J14" s="9">
        <f t="shared" si="2"/>
        <v>2.4654832347140041</v>
      </c>
      <c r="K14" s="1">
        <f t="shared" si="3"/>
        <v>1.4285714285714288</v>
      </c>
      <c r="L14" s="12">
        <f t="shared" si="4"/>
        <v>1794.8717948717947</v>
      </c>
      <c r="M14" s="10">
        <f t="shared" si="5"/>
        <v>22.435897435897431</v>
      </c>
      <c r="N14" s="3">
        <f t="shared" si="6"/>
        <v>1</v>
      </c>
      <c r="O14" s="13">
        <f t="shared" si="7"/>
        <v>2564.102564102564</v>
      </c>
      <c r="P14" s="11">
        <f t="shared" si="8"/>
        <v>32.051282051282051</v>
      </c>
    </row>
    <row r="15" spans="1:20" x14ac:dyDescent="0.3">
      <c r="G15" s="14">
        <v>14</v>
      </c>
      <c r="H15">
        <f t="shared" si="0"/>
        <v>14</v>
      </c>
      <c r="I15" s="8">
        <f t="shared" si="1"/>
        <v>183.15018315018315</v>
      </c>
      <c r="J15" s="9">
        <f t="shared" si="2"/>
        <v>2.2893772893772892</v>
      </c>
      <c r="K15" s="1">
        <f t="shared" si="3"/>
        <v>1.4814814814814816</v>
      </c>
      <c r="L15" s="12">
        <f t="shared" si="4"/>
        <v>1730.7692307692305</v>
      </c>
      <c r="M15" s="10">
        <f t="shared" si="5"/>
        <v>21.63461538461538</v>
      </c>
      <c r="N15" s="3">
        <f t="shared" si="6"/>
        <v>1</v>
      </c>
      <c r="O15" s="13">
        <f t="shared" si="7"/>
        <v>2564.102564102564</v>
      </c>
      <c r="P15" s="11">
        <f t="shared" si="8"/>
        <v>32.051282051282051</v>
      </c>
    </row>
    <row r="16" spans="1:20" x14ac:dyDescent="0.3">
      <c r="G16" s="14">
        <v>15</v>
      </c>
      <c r="H16">
        <f t="shared" si="0"/>
        <v>15</v>
      </c>
      <c r="I16" s="8">
        <f t="shared" si="1"/>
        <v>170.94017094017093</v>
      </c>
      <c r="J16" s="9">
        <f t="shared" si="2"/>
        <v>2.1367521367521367</v>
      </c>
      <c r="K16" s="1">
        <f t="shared" si="3"/>
        <v>1.5384615384615388</v>
      </c>
      <c r="L16" s="12">
        <f t="shared" si="4"/>
        <v>1666.6666666666665</v>
      </c>
      <c r="M16" s="10">
        <f t="shared" si="5"/>
        <v>20.833333333333329</v>
      </c>
      <c r="N16" s="3">
        <f t="shared" si="6"/>
        <v>2</v>
      </c>
      <c r="O16" s="13">
        <f t="shared" si="7"/>
        <v>1282.051282051282</v>
      </c>
      <c r="P16" s="11">
        <f t="shared" si="8"/>
        <v>16.025641025641026</v>
      </c>
    </row>
    <row r="17" spans="1:16" x14ac:dyDescent="0.3">
      <c r="G17" s="14">
        <v>16</v>
      </c>
      <c r="H17">
        <f t="shared" si="0"/>
        <v>16</v>
      </c>
      <c r="I17" s="8">
        <f t="shared" si="1"/>
        <v>160.25641025641025</v>
      </c>
      <c r="J17" s="9">
        <f t="shared" si="2"/>
        <v>2.0032051282051282</v>
      </c>
      <c r="K17" s="1">
        <f t="shared" si="3"/>
        <v>1.6</v>
      </c>
      <c r="L17" s="12">
        <f t="shared" si="4"/>
        <v>1602.5641025641025</v>
      </c>
      <c r="M17" s="10">
        <f t="shared" si="5"/>
        <v>20.032051282051281</v>
      </c>
      <c r="N17" s="3">
        <f t="shared" si="6"/>
        <v>2</v>
      </c>
      <c r="O17" s="13">
        <f t="shared" si="7"/>
        <v>1282.051282051282</v>
      </c>
      <c r="P17" s="11">
        <f t="shared" si="8"/>
        <v>16.025641025641026</v>
      </c>
    </row>
    <row r="18" spans="1:16" x14ac:dyDescent="0.3">
      <c r="G18" s="14">
        <v>17</v>
      </c>
      <c r="H18">
        <f t="shared" si="0"/>
        <v>17</v>
      </c>
      <c r="I18" s="8">
        <f t="shared" si="1"/>
        <v>150.82956259426848</v>
      </c>
      <c r="J18" s="9">
        <f t="shared" si="2"/>
        <v>1.8853695324283561</v>
      </c>
      <c r="K18" s="1">
        <f t="shared" si="3"/>
        <v>1.6666666666666667</v>
      </c>
      <c r="L18" s="12">
        <f t="shared" si="4"/>
        <v>1538.4615384615383</v>
      </c>
      <c r="M18" s="10">
        <f t="shared" si="5"/>
        <v>19.23076923076923</v>
      </c>
      <c r="N18" s="3">
        <f t="shared" si="6"/>
        <v>2</v>
      </c>
      <c r="O18" s="13">
        <f t="shared" si="7"/>
        <v>1282.051282051282</v>
      </c>
      <c r="P18" s="11">
        <f t="shared" si="8"/>
        <v>16.025641025641026</v>
      </c>
    </row>
    <row r="19" spans="1:16" x14ac:dyDescent="0.3">
      <c r="G19" s="14">
        <v>18</v>
      </c>
      <c r="H19">
        <f t="shared" si="0"/>
        <v>18</v>
      </c>
      <c r="I19" s="8">
        <f t="shared" si="1"/>
        <v>142.45014245014244</v>
      </c>
      <c r="J19" s="9">
        <f t="shared" si="2"/>
        <v>1.7806267806267806</v>
      </c>
      <c r="K19" s="1">
        <f t="shared" si="3"/>
        <v>1.7391304347826089</v>
      </c>
      <c r="L19" s="12">
        <f t="shared" si="4"/>
        <v>1474.3589743589741</v>
      </c>
      <c r="M19" s="10">
        <f t="shared" si="5"/>
        <v>18.429487179487179</v>
      </c>
      <c r="N19" s="3">
        <f t="shared" si="6"/>
        <v>2</v>
      </c>
      <c r="O19" s="13">
        <f t="shared" si="7"/>
        <v>1282.051282051282</v>
      </c>
      <c r="P19" s="11">
        <f t="shared" si="8"/>
        <v>16.025641025641026</v>
      </c>
    </row>
    <row r="20" spans="1:16" x14ac:dyDescent="0.3">
      <c r="G20" s="14">
        <v>19</v>
      </c>
      <c r="H20">
        <f t="shared" si="0"/>
        <v>19</v>
      </c>
      <c r="I20" s="8">
        <f t="shared" si="1"/>
        <v>134.95276653171391</v>
      </c>
      <c r="J20" s="9">
        <f t="shared" si="2"/>
        <v>1.6869095816464239</v>
      </c>
      <c r="K20" s="1">
        <f t="shared" si="3"/>
        <v>1.8181818181818183</v>
      </c>
      <c r="L20" s="12">
        <f t="shared" si="4"/>
        <v>1410.2564102564102</v>
      </c>
      <c r="M20" s="10">
        <f t="shared" si="5"/>
        <v>17.628205128205128</v>
      </c>
      <c r="N20" s="3">
        <f t="shared" si="6"/>
        <v>2</v>
      </c>
      <c r="O20" s="13">
        <f t="shared" si="7"/>
        <v>1282.051282051282</v>
      </c>
      <c r="P20" s="11">
        <f t="shared" si="8"/>
        <v>16.025641025641026</v>
      </c>
    </row>
    <row r="21" spans="1:16" x14ac:dyDescent="0.3">
      <c r="G21" s="14">
        <v>20</v>
      </c>
      <c r="H21">
        <f t="shared" si="0"/>
        <v>20</v>
      </c>
      <c r="I21" s="8">
        <f>IF(((H21)&gt;0),($C$26*1000/($B$23*H21)),(0))</f>
        <v>128.2051282051282</v>
      </c>
      <c r="J21" s="9">
        <f t="shared" si="2"/>
        <v>1.6025641025641024</v>
      </c>
      <c r="K21" s="1">
        <f t="shared" si="3"/>
        <v>1.9047619047619051</v>
      </c>
      <c r="L21" s="12">
        <f t="shared" si="4"/>
        <v>1346.153846153846</v>
      </c>
      <c r="M21" s="10">
        <f t="shared" si="5"/>
        <v>16.826923076923073</v>
      </c>
      <c r="N21" s="3">
        <f t="shared" si="6"/>
        <v>2</v>
      </c>
      <c r="O21" s="13">
        <f t="shared" si="7"/>
        <v>1282.051282051282</v>
      </c>
      <c r="P21" s="11">
        <f t="shared" si="8"/>
        <v>16.025641025641026</v>
      </c>
    </row>
    <row r="22" spans="1:16" x14ac:dyDescent="0.3">
      <c r="A22" s="7" t="s">
        <v>3</v>
      </c>
      <c r="B22" s="7">
        <v>800</v>
      </c>
      <c r="G22" s="14">
        <v>21</v>
      </c>
      <c r="H22">
        <f t="shared" si="0"/>
        <v>21</v>
      </c>
      <c r="I22" s="8">
        <f t="shared" si="1"/>
        <v>122.10012210012209</v>
      </c>
      <c r="J22" s="9">
        <f t="shared" si="2"/>
        <v>1.5262515262515262</v>
      </c>
      <c r="K22" s="1">
        <f t="shared" si="3"/>
        <v>2</v>
      </c>
      <c r="L22" s="12">
        <f t="shared" si="4"/>
        <v>1282.051282051282</v>
      </c>
      <c r="M22" s="10">
        <f t="shared" si="5"/>
        <v>16.025641025641026</v>
      </c>
      <c r="N22" s="3">
        <f t="shared" si="6"/>
        <v>2</v>
      </c>
      <c r="O22" s="13">
        <f t="shared" si="7"/>
        <v>1282.051282051282</v>
      </c>
      <c r="P22" s="11">
        <f t="shared" si="8"/>
        <v>16.025641025641026</v>
      </c>
    </row>
    <row r="23" spans="1:16" x14ac:dyDescent="0.3">
      <c r="A23" s="7" t="s">
        <v>4</v>
      </c>
      <c r="B23" s="7">
        <v>20</v>
      </c>
      <c r="G23" s="14">
        <v>22</v>
      </c>
      <c r="H23">
        <f t="shared" si="0"/>
        <v>22</v>
      </c>
      <c r="I23" s="8">
        <f t="shared" si="1"/>
        <v>116.55011655011654</v>
      </c>
      <c r="J23" s="9">
        <f t="shared" si="2"/>
        <v>1.4568764568764567</v>
      </c>
      <c r="K23" s="1">
        <f t="shared" si="3"/>
        <v>2.1052631578947372</v>
      </c>
      <c r="L23" s="12">
        <f t="shared" si="4"/>
        <v>1217.9487179487178</v>
      </c>
      <c r="M23" s="10">
        <f t="shared" si="5"/>
        <v>15.224358974358973</v>
      </c>
      <c r="N23" s="3">
        <f t="shared" si="6"/>
        <v>2</v>
      </c>
      <c r="O23" s="13">
        <f t="shared" si="7"/>
        <v>1282.051282051282</v>
      </c>
      <c r="P23" s="11">
        <f t="shared" si="8"/>
        <v>16.025641025641026</v>
      </c>
    </row>
    <row r="24" spans="1:16" x14ac:dyDescent="0.3">
      <c r="G24" s="14">
        <v>23</v>
      </c>
      <c r="H24">
        <f t="shared" si="0"/>
        <v>23</v>
      </c>
      <c r="I24" s="8">
        <f t="shared" si="1"/>
        <v>111.48272017837235</v>
      </c>
      <c r="J24" s="9">
        <f t="shared" si="2"/>
        <v>1.3935340022296543</v>
      </c>
      <c r="K24" s="1">
        <f t="shared" si="3"/>
        <v>2.2222222222222219</v>
      </c>
      <c r="L24" s="12">
        <f t="shared" si="4"/>
        <v>1153.8461538461538</v>
      </c>
      <c r="M24" s="10">
        <f t="shared" si="5"/>
        <v>14.423076923076923</v>
      </c>
      <c r="N24" s="3">
        <f t="shared" si="6"/>
        <v>2</v>
      </c>
      <c r="O24" s="13">
        <f t="shared" si="7"/>
        <v>1282.051282051282</v>
      </c>
      <c r="P24" s="11">
        <f t="shared" si="8"/>
        <v>16.025641025641026</v>
      </c>
    </row>
    <row r="25" spans="1:16" x14ac:dyDescent="0.3">
      <c r="A25" t="s">
        <v>1</v>
      </c>
      <c r="C25">
        <f>ABS(A3-B3)</f>
        <v>39</v>
      </c>
      <c r="G25" s="14">
        <v>24</v>
      </c>
      <c r="H25">
        <f t="shared" si="0"/>
        <v>24</v>
      </c>
      <c r="I25" s="8">
        <f t="shared" si="1"/>
        <v>106.83760683760684</v>
      </c>
      <c r="J25" s="9">
        <f t="shared" si="2"/>
        <v>1.3354700854700854</v>
      </c>
      <c r="K25" s="1">
        <f t="shared" si="3"/>
        <v>2.3529411764705883</v>
      </c>
      <c r="L25" s="12">
        <f t="shared" si="4"/>
        <v>1089.7435897435896</v>
      </c>
      <c r="M25" s="10">
        <f t="shared" si="5"/>
        <v>13.62179487179487</v>
      </c>
      <c r="N25" s="3">
        <f t="shared" si="6"/>
        <v>2</v>
      </c>
      <c r="O25" s="13">
        <f t="shared" si="7"/>
        <v>1282.051282051282</v>
      </c>
      <c r="P25" s="11">
        <f t="shared" si="8"/>
        <v>16.025641025641026</v>
      </c>
    </row>
    <row r="26" spans="1:16" x14ac:dyDescent="0.3">
      <c r="A26" t="s">
        <v>0</v>
      </c>
      <c r="C26" s="3">
        <f>C3/C25</f>
        <v>51.282051282051285</v>
      </c>
      <c r="G26" s="14">
        <v>25</v>
      </c>
      <c r="H26">
        <f t="shared" si="0"/>
        <v>25</v>
      </c>
      <c r="I26" s="8">
        <f t="shared" si="1"/>
        <v>102.56410256410257</v>
      </c>
      <c r="J26" s="9">
        <f t="shared" si="2"/>
        <v>1.2820512820512819</v>
      </c>
      <c r="K26" s="1">
        <f t="shared" si="3"/>
        <v>2.5000000000000004</v>
      </c>
      <c r="L26" s="12">
        <f t="shared" si="4"/>
        <v>1025.6410256410254</v>
      </c>
      <c r="M26" s="10">
        <f t="shared" si="5"/>
        <v>12.820512820512818</v>
      </c>
      <c r="N26" s="3">
        <f t="shared" si="6"/>
        <v>3</v>
      </c>
      <c r="O26" s="13">
        <f t="shared" si="7"/>
        <v>854.70085470085473</v>
      </c>
      <c r="P26" s="11">
        <f t="shared" si="8"/>
        <v>10.683760683760683</v>
      </c>
    </row>
    <row r="27" spans="1:16" x14ac:dyDescent="0.3">
      <c r="A27" t="s">
        <v>14</v>
      </c>
      <c r="C27" s="3">
        <f>$C$26*1000/($B$23*$A$3)</f>
        <v>2564.102564102564</v>
      </c>
      <c r="G27" s="14">
        <v>26</v>
      </c>
      <c r="H27">
        <f t="shared" si="0"/>
        <v>26</v>
      </c>
      <c r="I27" s="8">
        <f t="shared" si="1"/>
        <v>98.619329388560161</v>
      </c>
      <c r="J27" s="9">
        <f t="shared" si="2"/>
        <v>1.2327416173570021</v>
      </c>
      <c r="K27" s="1">
        <f t="shared" si="3"/>
        <v>2.666666666666667</v>
      </c>
      <c r="L27" s="12">
        <f t="shared" si="4"/>
        <v>961.53846153846143</v>
      </c>
      <c r="M27" s="10">
        <f t="shared" si="5"/>
        <v>12.019230769230766</v>
      </c>
      <c r="N27" s="3">
        <f t="shared" si="6"/>
        <v>3</v>
      </c>
      <c r="O27" s="13">
        <f t="shared" si="7"/>
        <v>854.70085470085473</v>
      </c>
      <c r="P27" s="11">
        <f t="shared" si="8"/>
        <v>10.683760683760683</v>
      </c>
    </row>
    <row r="28" spans="1:16" x14ac:dyDescent="0.3">
      <c r="A28" t="s">
        <v>15</v>
      </c>
      <c r="C28" s="3">
        <f>$C$26*1000/($B$23*$B$3)</f>
        <v>64.102564102564102</v>
      </c>
      <c r="G28" s="14">
        <v>27</v>
      </c>
      <c r="H28">
        <f t="shared" si="0"/>
        <v>27</v>
      </c>
      <c r="I28" s="8">
        <f t="shared" si="1"/>
        <v>94.966761633428305</v>
      </c>
      <c r="J28" s="9">
        <f t="shared" si="2"/>
        <v>1.1870845204178537</v>
      </c>
      <c r="K28" s="1">
        <f t="shared" si="3"/>
        <v>2.8571428571428577</v>
      </c>
      <c r="L28" s="12">
        <f t="shared" si="4"/>
        <v>897.43589743589723</v>
      </c>
      <c r="M28" s="10">
        <f t="shared" si="5"/>
        <v>11.217948717948715</v>
      </c>
      <c r="N28" s="3">
        <f t="shared" si="6"/>
        <v>3</v>
      </c>
      <c r="O28" s="13">
        <f t="shared" si="7"/>
        <v>854.70085470085473</v>
      </c>
      <c r="P28" s="11">
        <f t="shared" si="8"/>
        <v>10.683760683760683</v>
      </c>
    </row>
    <row r="29" spans="1:16" x14ac:dyDescent="0.3">
      <c r="A29" t="s">
        <v>16</v>
      </c>
      <c r="C29" s="2">
        <f>ABS($C$28-$C$27)/$C$25</f>
        <v>64.102564102564102</v>
      </c>
      <c r="G29" s="14">
        <v>28</v>
      </c>
      <c r="H29">
        <f t="shared" si="0"/>
        <v>28</v>
      </c>
      <c r="I29" s="8">
        <f t="shared" si="1"/>
        <v>91.575091575091577</v>
      </c>
      <c r="J29" s="9">
        <f t="shared" si="2"/>
        <v>1.1446886446886446</v>
      </c>
      <c r="K29" s="1">
        <f t="shared" si="3"/>
        <v>3.0769230769230775</v>
      </c>
      <c r="L29" s="12">
        <f t="shared" si="4"/>
        <v>833.33333333333326</v>
      </c>
      <c r="M29" s="10">
        <f t="shared" si="5"/>
        <v>10.416666666666664</v>
      </c>
      <c r="N29" s="3">
        <f t="shared" si="6"/>
        <v>3</v>
      </c>
      <c r="O29" s="13">
        <f t="shared" si="7"/>
        <v>854.70085470085473</v>
      </c>
      <c r="P29" s="11">
        <f t="shared" si="8"/>
        <v>10.683760683760683</v>
      </c>
    </row>
    <row r="30" spans="1:16" x14ac:dyDescent="0.3">
      <c r="G30" s="14">
        <v>29</v>
      </c>
      <c r="H30">
        <f t="shared" si="0"/>
        <v>29</v>
      </c>
      <c r="I30" s="8">
        <f t="shared" si="1"/>
        <v>88.417329796640146</v>
      </c>
      <c r="J30" s="9">
        <f t="shared" si="2"/>
        <v>1.1052166224580018</v>
      </c>
      <c r="K30" s="1">
        <f t="shared" si="3"/>
        <v>3.3333333333333339</v>
      </c>
      <c r="L30" s="12">
        <f t="shared" si="4"/>
        <v>769.23076923076906</v>
      </c>
      <c r="M30" s="10">
        <f t="shared" si="5"/>
        <v>9.6153846153846132</v>
      </c>
      <c r="N30" s="3">
        <f t="shared" si="6"/>
        <v>3</v>
      </c>
      <c r="O30" s="13">
        <f t="shared" si="7"/>
        <v>854.70085470085473</v>
      </c>
      <c r="P30" s="11">
        <f t="shared" si="8"/>
        <v>10.683760683760683</v>
      </c>
    </row>
    <row r="31" spans="1:16" x14ac:dyDescent="0.3">
      <c r="A31" t="s">
        <v>2</v>
      </c>
      <c r="G31" s="14">
        <v>30</v>
      </c>
      <c r="H31">
        <f t="shared" si="0"/>
        <v>30</v>
      </c>
      <c r="I31" s="8">
        <f t="shared" si="1"/>
        <v>85.470085470085465</v>
      </c>
      <c r="J31" s="9">
        <f t="shared" si="2"/>
        <v>1.0683760683760684</v>
      </c>
      <c r="K31" s="1">
        <f t="shared" si="3"/>
        <v>3.6363636363636367</v>
      </c>
      <c r="L31" s="12">
        <f t="shared" si="4"/>
        <v>705.12820512820508</v>
      </c>
      <c r="M31" s="10">
        <f t="shared" si="5"/>
        <v>8.8141025641025639</v>
      </c>
      <c r="N31" s="3">
        <f t="shared" si="6"/>
        <v>4</v>
      </c>
      <c r="O31" s="13">
        <f t="shared" si="7"/>
        <v>641.02564102564099</v>
      </c>
      <c r="P31" s="11">
        <f t="shared" si="8"/>
        <v>8.0128205128205128</v>
      </c>
    </row>
    <row r="32" spans="1:16" x14ac:dyDescent="0.3">
      <c r="G32" s="14">
        <v>31</v>
      </c>
      <c r="H32">
        <f t="shared" si="0"/>
        <v>31</v>
      </c>
      <c r="I32" s="8">
        <f t="shared" si="1"/>
        <v>82.712985938792386</v>
      </c>
      <c r="J32" s="9">
        <f t="shared" si="2"/>
        <v>1.0339123242349049</v>
      </c>
      <c r="K32" s="1">
        <f t="shared" si="3"/>
        <v>4.0000000000000009</v>
      </c>
      <c r="L32" s="12">
        <f t="shared" si="4"/>
        <v>641.02564102564088</v>
      </c>
      <c r="M32" s="10">
        <f t="shared" si="5"/>
        <v>8.012820512820511</v>
      </c>
      <c r="N32" s="3">
        <f t="shared" si="6"/>
        <v>4</v>
      </c>
      <c r="O32" s="13">
        <f t="shared" si="7"/>
        <v>641.02564102564099</v>
      </c>
      <c r="P32" s="11">
        <f t="shared" si="8"/>
        <v>8.0128205128205128</v>
      </c>
    </row>
    <row r="33" spans="7:16" x14ac:dyDescent="0.3">
      <c r="G33" s="14">
        <v>32</v>
      </c>
      <c r="H33">
        <f t="shared" si="0"/>
        <v>32</v>
      </c>
      <c r="I33" s="8">
        <f t="shared" si="1"/>
        <v>80.128205128205124</v>
      </c>
      <c r="J33" s="9">
        <f t="shared" si="2"/>
        <v>1.0016025641025641</v>
      </c>
      <c r="K33" s="1">
        <f t="shared" si="3"/>
        <v>4.4444444444444438</v>
      </c>
      <c r="L33" s="12">
        <f t="shared" si="4"/>
        <v>576.92307692307691</v>
      </c>
      <c r="M33" s="10">
        <f t="shared" si="5"/>
        <v>7.2115384615384617</v>
      </c>
      <c r="N33" s="3">
        <f t="shared" si="6"/>
        <v>4</v>
      </c>
      <c r="O33" s="13">
        <f t="shared" si="7"/>
        <v>641.02564102564099</v>
      </c>
      <c r="P33" s="11">
        <f t="shared" si="8"/>
        <v>8.0128205128205128</v>
      </c>
    </row>
    <row r="34" spans="7:16" x14ac:dyDescent="0.3">
      <c r="G34" s="14">
        <v>33</v>
      </c>
      <c r="H34">
        <f t="shared" si="0"/>
        <v>33</v>
      </c>
      <c r="I34" s="8">
        <f t="shared" si="1"/>
        <v>77.700077700077699</v>
      </c>
      <c r="J34" s="9">
        <f t="shared" si="2"/>
        <v>0.97125097125097126</v>
      </c>
      <c r="K34" s="1">
        <f t="shared" si="3"/>
        <v>5.0000000000000009</v>
      </c>
      <c r="L34" s="12">
        <f t="shared" si="4"/>
        <v>512.8205128205127</v>
      </c>
      <c r="M34" s="10">
        <f t="shared" si="5"/>
        <v>6.4102564102564088</v>
      </c>
      <c r="N34" s="3">
        <f t="shared" si="6"/>
        <v>5</v>
      </c>
      <c r="O34" s="13">
        <f t="shared" si="7"/>
        <v>512.82051282051282</v>
      </c>
      <c r="P34" s="11">
        <f t="shared" si="8"/>
        <v>6.4102564102564097</v>
      </c>
    </row>
    <row r="35" spans="7:16" x14ac:dyDescent="0.3">
      <c r="G35" s="14">
        <v>34</v>
      </c>
      <c r="H35">
        <f t="shared" si="0"/>
        <v>34</v>
      </c>
      <c r="I35" s="8">
        <f t="shared" si="1"/>
        <v>75.41478129713424</v>
      </c>
      <c r="J35" s="9">
        <f t="shared" si="2"/>
        <v>0.94268476621417807</v>
      </c>
      <c r="K35" s="1">
        <f t="shared" si="3"/>
        <v>5.7142857142857144</v>
      </c>
      <c r="L35" s="12">
        <f t="shared" si="4"/>
        <v>448.71794871794873</v>
      </c>
      <c r="M35" s="10">
        <f t="shared" si="5"/>
        <v>5.6089743589743595</v>
      </c>
      <c r="N35" s="3">
        <f t="shared" si="6"/>
        <v>6</v>
      </c>
      <c r="O35" s="13">
        <f t="shared" si="7"/>
        <v>427.35042735042737</v>
      </c>
      <c r="P35" s="11">
        <f t="shared" si="8"/>
        <v>5.3418803418803416</v>
      </c>
    </row>
    <row r="36" spans="7:16" x14ac:dyDescent="0.3">
      <c r="G36" s="14">
        <v>35</v>
      </c>
      <c r="H36">
        <f t="shared" si="0"/>
        <v>35</v>
      </c>
      <c r="I36" s="8">
        <f t="shared" si="1"/>
        <v>73.260073260073256</v>
      </c>
      <c r="J36" s="9">
        <f t="shared" si="2"/>
        <v>0.91575091575091561</v>
      </c>
      <c r="K36" s="1">
        <f t="shared" si="3"/>
        <v>6.6666666666666723</v>
      </c>
      <c r="L36" s="12">
        <f t="shared" si="4"/>
        <v>384.6153846153843</v>
      </c>
      <c r="M36" s="10">
        <f t="shared" si="5"/>
        <v>4.8076923076923039</v>
      </c>
      <c r="N36" s="3">
        <f t="shared" si="6"/>
        <v>7</v>
      </c>
      <c r="O36" s="13">
        <f t="shared" si="7"/>
        <v>366.30036630036631</v>
      </c>
      <c r="P36" s="11">
        <f t="shared" si="8"/>
        <v>4.5787545787545785</v>
      </c>
    </row>
    <row r="37" spans="7:16" x14ac:dyDescent="0.3">
      <c r="G37" s="14">
        <v>36</v>
      </c>
      <c r="H37">
        <f t="shared" si="0"/>
        <v>36</v>
      </c>
      <c r="I37" s="8">
        <f t="shared" si="1"/>
        <v>71.225071225071218</v>
      </c>
      <c r="J37" s="9">
        <f t="shared" si="2"/>
        <v>0.8903133903133903</v>
      </c>
      <c r="K37" s="1">
        <f t="shared" si="3"/>
        <v>8.0000000000000053</v>
      </c>
      <c r="L37" s="12">
        <f t="shared" si="4"/>
        <v>320.51282051282033</v>
      </c>
      <c r="M37" s="10">
        <f t="shared" si="5"/>
        <v>4.0064102564102537</v>
      </c>
      <c r="N37" s="3">
        <f t="shared" si="6"/>
        <v>8</v>
      </c>
      <c r="O37" s="13">
        <f t="shared" si="7"/>
        <v>320.5128205128205</v>
      </c>
      <c r="P37" s="11">
        <f t="shared" si="8"/>
        <v>4.0064102564102564</v>
      </c>
    </row>
    <row r="38" spans="7:16" x14ac:dyDescent="0.3">
      <c r="G38" s="14">
        <v>37</v>
      </c>
      <c r="H38">
        <f t="shared" si="0"/>
        <v>37</v>
      </c>
      <c r="I38" s="8">
        <f t="shared" si="1"/>
        <v>69.300069300069296</v>
      </c>
      <c r="J38" s="9">
        <f t="shared" si="2"/>
        <v>0.86625086625086622</v>
      </c>
      <c r="K38" s="1">
        <f t="shared" si="3"/>
        <v>10.000000000000002</v>
      </c>
      <c r="L38" s="12">
        <f t="shared" si="4"/>
        <v>256.41025641025635</v>
      </c>
      <c r="M38" s="10">
        <f t="shared" si="5"/>
        <v>3.2051282051282044</v>
      </c>
      <c r="N38" s="3">
        <f t="shared" si="6"/>
        <v>10</v>
      </c>
      <c r="O38" s="13">
        <f t="shared" si="7"/>
        <v>256.41025641025641</v>
      </c>
      <c r="P38" s="11">
        <f t="shared" si="8"/>
        <v>3.2051282051282048</v>
      </c>
    </row>
    <row r="39" spans="7:16" x14ac:dyDescent="0.3">
      <c r="G39" s="14">
        <v>38</v>
      </c>
      <c r="H39">
        <f t="shared" si="0"/>
        <v>38</v>
      </c>
      <c r="I39" s="8">
        <f t="shared" si="1"/>
        <v>67.476383265856953</v>
      </c>
      <c r="J39" s="9">
        <f t="shared" si="2"/>
        <v>0.84345479082321195</v>
      </c>
      <c r="K39" s="1">
        <f t="shared" si="3"/>
        <v>13.333333333333329</v>
      </c>
      <c r="L39" s="12">
        <f t="shared" si="4"/>
        <v>192.30769230769238</v>
      </c>
      <c r="M39" s="10">
        <f t="shared" si="5"/>
        <v>2.4038461538461546</v>
      </c>
      <c r="N39" s="3">
        <f t="shared" si="6"/>
        <v>13</v>
      </c>
      <c r="O39" s="13">
        <f t="shared" si="7"/>
        <v>197.23865877712032</v>
      </c>
      <c r="P39" s="11">
        <f t="shared" si="8"/>
        <v>2.4654832347140041</v>
      </c>
    </row>
    <row r="40" spans="7:16" x14ac:dyDescent="0.3">
      <c r="G40" s="14">
        <v>39</v>
      </c>
      <c r="H40">
        <f t="shared" si="0"/>
        <v>39</v>
      </c>
      <c r="I40" s="8">
        <f t="shared" si="1"/>
        <v>65.746219592373436</v>
      </c>
      <c r="J40" s="9">
        <f t="shared" si="2"/>
        <v>0.82182774490466803</v>
      </c>
      <c r="K40" s="1">
        <f t="shared" si="3"/>
        <v>20.000000000000039</v>
      </c>
      <c r="L40" s="12">
        <f t="shared" si="4"/>
        <v>128.20512820512795</v>
      </c>
      <c r="M40" s="10">
        <f t="shared" si="5"/>
        <v>1.6025641025640993</v>
      </c>
      <c r="N40" s="3">
        <f t="shared" si="6"/>
        <v>20</v>
      </c>
      <c r="O40" s="13">
        <f t="shared" si="7"/>
        <v>128.2051282051282</v>
      </c>
      <c r="P40" s="11">
        <f t="shared" si="8"/>
        <v>1.6025641025641024</v>
      </c>
    </row>
    <row r="41" spans="7:16" x14ac:dyDescent="0.3">
      <c r="G41" s="14">
        <v>40</v>
      </c>
      <c r="H41">
        <f t="shared" si="0"/>
        <v>40</v>
      </c>
      <c r="I41" s="8">
        <f t="shared" si="1"/>
        <v>64.102564102564102</v>
      </c>
      <c r="J41" s="9">
        <f t="shared" si="2"/>
        <v>0.80128205128205121</v>
      </c>
      <c r="K41" s="1">
        <f t="shared" si="3"/>
        <v>40.000000000000078</v>
      </c>
      <c r="L41" s="12">
        <f t="shared" si="4"/>
        <v>64.102564102563974</v>
      </c>
      <c r="M41" s="10">
        <f t="shared" si="5"/>
        <v>0.80128205128204966</v>
      </c>
      <c r="N41" s="3">
        <f t="shared" si="6"/>
        <v>40</v>
      </c>
      <c r="O41" s="13">
        <f t="shared" si="7"/>
        <v>64.102564102564102</v>
      </c>
      <c r="P41" s="11">
        <f t="shared" si="8"/>
        <v>0.80128205128205121</v>
      </c>
    </row>
  </sheetData>
  <sortState xmlns:xlrd2="http://schemas.microsoft.com/office/spreadsheetml/2017/richdata2" ref="H2:L21">
    <sortCondition ref="I2:I21"/>
  </sortState>
  <mergeCells count="6">
    <mergeCell ref="A1:A2"/>
    <mergeCell ref="B1:B2"/>
    <mergeCell ref="A3:A5"/>
    <mergeCell ref="B3:B5"/>
    <mergeCell ref="C1:E2"/>
    <mergeCell ref="C3:E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Izimirt</dc:creator>
  <cp:lastModifiedBy>Izimirt</cp:lastModifiedBy>
  <dcterms:created xsi:type="dcterms:W3CDTF">2025-12-04T22:02:06Z</dcterms:created>
  <dcterms:modified xsi:type="dcterms:W3CDTF">2025-12-14T00:38:19Z</dcterms:modified>
</cp:coreProperties>
</file>